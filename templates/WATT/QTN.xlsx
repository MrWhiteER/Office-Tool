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'S FILES\SOLOLUCE TEMPLATE 2024\"/>
    </mc:Choice>
  </mc:AlternateContent>
  <xr:revisionPtr revIDLastSave="0" documentId="13_ncr:1_{42736D04-9A66-48A6-ADA6-A6C8090538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30112" sheetId="1" r:id="rId1"/>
  </sheets>
  <definedNames>
    <definedName name="_xlnm.Print_Area" localSheetId="0">'20230112'!$A$2:$K$27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 s="1"/>
  <c r="J18" i="1"/>
  <c r="K18" i="1"/>
  <c r="K16" i="1"/>
  <c r="K19" i="1" l="1"/>
  <c r="K20" i="1" s="1"/>
  <c r="K21" i="1" s="1"/>
  <c r="J16" i="1"/>
</calcChain>
</file>

<file path=xl/sharedStrings.xml><?xml version="1.0" encoding="utf-8"?>
<sst xmlns="http://schemas.openxmlformats.org/spreadsheetml/2006/main" count="28" uniqueCount="24">
  <si>
    <t>Date</t>
  </si>
  <si>
    <t>Item Description</t>
  </si>
  <si>
    <t>Unit</t>
  </si>
  <si>
    <t>Qty</t>
  </si>
  <si>
    <t>Subtotal</t>
  </si>
  <si>
    <t>TOTAL AMOUNT</t>
  </si>
  <si>
    <t>Terms &amp; Conditions</t>
  </si>
  <si>
    <t>X</t>
  </si>
  <si>
    <t>Authorized Signature</t>
  </si>
  <si>
    <t>QTN Number</t>
  </si>
  <si>
    <t>Project</t>
  </si>
  <si>
    <t>No</t>
  </si>
  <si>
    <t xml:space="preserve">Amount </t>
  </si>
  <si>
    <t>Price</t>
  </si>
  <si>
    <t>QUOTATION</t>
  </si>
  <si>
    <t>Rev</t>
  </si>
  <si>
    <t>Vat 5%</t>
  </si>
  <si>
    <t>Area</t>
  </si>
  <si>
    <t>Photo</t>
  </si>
  <si>
    <t>Type</t>
  </si>
  <si>
    <t>Amount in words:</t>
  </si>
  <si>
    <r>
      <rPr>
        <b/>
        <sz val="18"/>
        <color theme="1"/>
        <rFont val="Arial"/>
        <family val="2"/>
      </rPr>
      <t>Delivery:</t>
    </r>
    <r>
      <rPr>
        <sz val="18"/>
        <color theme="1"/>
        <rFont val="Arial"/>
        <family val="2"/>
      </rPr>
      <t xml:space="preserve">   10-12weeks
</t>
    </r>
    <r>
      <rPr>
        <b/>
        <sz val="18"/>
        <color theme="1"/>
        <rFont val="Arial"/>
        <family val="2"/>
      </rPr>
      <t xml:space="preserve">Payment: </t>
    </r>
    <r>
      <rPr>
        <sz val="18"/>
        <color theme="1"/>
        <rFont val="Arial"/>
        <family val="2"/>
      </rPr>
      <t xml:space="preserve"> 50% advance 50% upon delivery
</t>
    </r>
    <r>
      <rPr>
        <b/>
        <sz val="18"/>
        <color theme="1"/>
        <rFont val="Arial"/>
        <family val="2"/>
      </rPr>
      <t>Warranty:</t>
    </r>
    <r>
      <rPr>
        <sz val="18"/>
        <color theme="1"/>
        <rFont val="Arial"/>
        <family val="2"/>
      </rPr>
      <t xml:space="preserve"> 5years warranty</t>
    </r>
  </si>
  <si>
    <t>PCS</t>
  </si>
  <si>
    <t>18.06.2026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</si>
</sst>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$-409]#,##0.00"/>
    <numFmt numFmtId="166" formatCode="&quot;AED&quot;#,##0.00"/>
    <numFmt numFmtId="167" formatCode="[$AED]\ #,##0.0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sz val="13"/>
      <color theme="1"/>
      <name val="Arial"/>
      <family val="2"/>
    </font>
    <font>
      <sz val="18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 tint="0.499984740745262"/>
      <name val="Arial"/>
      <family val="2"/>
    </font>
    <font>
      <b/>
      <i/>
      <sz val="18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theme="1" tint="0.49998474074526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36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0CECE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/>
  </cellStyleXfs>
  <cellXfs count="104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3" borderId="6" xfId="0" applyFont="1" applyFill="1" applyBorder="1" applyProtection="1"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wrapText="1"/>
      <protection hidden="1"/>
    </xf>
    <xf numFmtId="0" fontId="6" fillId="3" borderId="1" xfId="0" applyFont="1" applyFill="1" applyBorder="1" applyProtection="1">
      <protection hidden="1"/>
    </xf>
    <xf numFmtId="0" fontId="4" fillId="3" borderId="0" xfId="0" applyFont="1" applyFill="1" applyProtection="1">
      <protection hidden="1"/>
    </xf>
    <xf numFmtId="0" fontId="4" fillId="4" borderId="0" xfId="0" applyFont="1" applyFill="1"/>
    <xf numFmtId="0" fontId="7" fillId="0" borderId="0" xfId="0" applyFont="1" applyAlignment="1" applyProtection="1">
      <alignment wrapText="1"/>
      <protection hidden="1"/>
    </xf>
    <xf numFmtId="0" fontId="3" fillId="4" borderId="0" xfId="0" applyFont="1" applyFill="1"/>
    <xf numFmtId="0" fontId="8" fillId="4" borderId="0" xfId="0" applyFont="1" applyFill="1" applyAlignment="1">
      <alignment horizontal="right" vertical="center"/>
    </xf>
    <xf numFmtId="1" fontId="9" fillId="0" borderId="4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2" fontId="11" fillId="0" borderId="0" xfId="0" applyNumberFormat="1" applyFont="1" applyAlignment="1">
      <alignment horizontal="center" vertical="center"/>
    </xf>
    <xf numFmtId="0" fontId="11" fillId="3" borderId="9" xfId="0" applyFont="1" applyFill="1" applyBorder="1" applyProtection="1">
      <protection hidden="1"/>
    </xf>
    <xf numFmtId="0" fontId="11" fillId="3" borderId="9" xfId="0" applyFont="1" applyFill="1" applyBorder="1" applyAlignment="1" applyProtection="1">
      <alignment horizontal="center"/>
      <protection hidden="1"/>
    </xf>
    <xf numFmtId="0" fontId="11" fillId="3" borderId="9" xfId="0" applyFont="1" applyFill="1" applyBorder="1" applyAlignment="1" applyProtection="1">
      <alignment wrapText="1"/>
      <protection hidden="1"/>
    </xf>
    <xf numFmtId="0" fontId="11" fillId="0" borderId="3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left" wrapText="1"/>
      <protection locked="0"/>
    </xf>
    <xf numFmtId="0" fontId="11" fillId="3" borderId="11" xfId="0" applyFont="1" applyFill="1" applyBorder="1" applyProtection="1">
      <protection hidden="1"/>
    </xf>
    <xf numFmtId="0" fontId="11" fillId="3" borderId="1" xfId="0" applyFont="1" applyFill="1" applyBorder="1" applyAlignment="1" applyProtection="1">
      <alignment horizontal="center"/>
      <protection hidden="1"/>
    </xf>
    <xf numFmtId="0" fontId="11" fillId="3" borderId="1" xfId="0" applyFont="1" applyFill="1" applyBorder="1" applyAlignment="1" applyProtection="1">
      <alignment wrapText="1"/>
      <protection hidden="1"/>
    </xf>
    <xf numFmtId="0" fontId="11" fillId="3" borderId="2" xfId="0" applyFont="1" applyFill="1" applyBorder="1" applyProtection="1">
      <protection locked="0"/>
    </xf>
    <xf numFmtId="0" fontId="14" fillId="3" borderId="0" xfId="0" applyFont="1" applyFill="1" applyAlignment="1" applyProtection="1">
      <alignment horizontal="left"/>
      <protection hidden="1"/>
    </xf>
    <xf numFmtId="0" fontId="14" fillId="3" borderId="0" xfId="0" applyFont="1" applyFill="1" applyAlignment="1" applyProtection="1">
      <alignment horizontal="center"/>
      <protection hidden="1"/>
    </xf>
    <xf numFmtId="0" fontId="14" fillId="3" borderId="0" xfId="0" applyFont="1" applyFill="1" applyAlignment="1" applyProtection="1">
      <alignment horizontal="left" wrapText="1"/>
      <protection hidden="1"/>
    </xf>
    <xf numFmtId="0" fontId="15" fillId="3" borderId="0" xfId="0" applyFont="1" applyFill="1" applyAlignment="1" applyProtection="1">
      <alignment horizontal="left"/>
      <protection hidden="1"/>
    </xf>
    <xf numFmtId="0" fontId="11" fillId="3" borderId="5" xfId="0" applyFont="1" applyFill="1" applyBorder="1" applyAlignment="1" applyProtection="1">
      <alignment horizontal="left"/>
      <protection hidden="1"/>
    </xf>
    <xf numFmtId="0" fontId="11" fillId="3" borderId="0" xfId="0" applyFont="1" applyFill="1" applyBorder="1" applyAlignment="1" applyProtection="1">
      <alignment horizontal="left"/>
      <protection hidden="1"/>
    </xf>
    <xf numFmtId="0" fontId="11" fillId="3" borderId="0" xfId="0" applyFont="1" applyFill="1" applyAlignment="1" applyProtection="1">
      <alignment horizontal="center"/>
      <protection hidden="1"/>
    </xf>
    <xf numFmtId="0" fontId="11" fillId="3" borderId="0" xfId="0" applyFont="1" applyFill="1" applyAlignment="1" applyProtection="1">
      <alignment horizontal="left" wrapText="1"/>
      <protection hidden="1"/>
    </xf>
    <xf numFmtId="0" fontId="11" fillId="3" borderId="0" xfId="0" applyFont="1" applyFill="1" applyAlignment="1" applyProtection="1">
      <alignment horizontal="left"/>
      <protection hidden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8" fillId="3" borderId="3" xfId="0" applyFont="1" applyFill="1" applyBorder="1" applyAlignment="1" applyProtection="1">
      <alignment horizontal="right"/>
      <protection hidden="1"/>
    </xf>
    <xf numFmtId="0" fontId="18" fillId="3" borderId="1" xfId="0" applyFont="1" applyFill="1" applyBorder="1" applyAlignment="1" applyProtection="1">
      <alignment horizontal="right"/>
      <protection hidden="1"/>
    </xf>
    <xf numFmtId="1" fontId="18" fillId="3" borderId="4" xfId="0" quotePrefix="1" applyNumberFormat="1" applyFont="1" applyFill="1" applyBorder="1" applyAlignment="1" applyProtection="1">
      <alignment horizontal="center"/>
      <protection locked="0"/>
    </xf>
    <xf numFmtId="0" fontId="18" fillId="3" borderId="0" xfId="0" applyFont="1" applyFill="1" applyAlignment="1" applyProtection="1">
      <alignment horizontal="right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3" borderId="0" xfId="0" applyFont="1" applyFill="1" applyBorder="1" applyProtection="1">
      <protection hidden="1"/>
    </xf>
    <xf numFmtId="4" fontId="9" fillId="0" borderId="4" xfId="0" applyNumberFormat="1" applyFont="1" applyFill="1" applyBorder="1" applyAlignment="1">
      <alignment horizontal="center" vertical="center" shrinkToFit="1"/>
    </xf>
    <xf numFmtId="167" fontId="19" fillId="0" borderId="4" xfId="0" applyNumberFormat="1" applyFont="1" applyBorder="1" applyAlignment="1">
      <alignment horizontal="center" vertical="center"/>
    </xf>
    <xf numFmtId="167" fontId="7" fillId="4" borderId="4" xfId="0" applyNumberFormat="1" applyFont="1" applyFill="1" applyBorder="1" applyAlignment="1" applyProtection="1">
      <alignment horizontal="center" vertical="center"/>
      <protection hidden="1"/>
    </xf>
    <xf numFmtId="165" fontId="18" fillId="3" borderId="4" xfId="0" applyNumberFormat="1" applyFont="1" applyFill="1" applyBorder="1" applyAlignment="1" applyProtection="1">
      <alignment horizontal="center"/>
      <protection locked="0"/>
    </xf>
    <xf numFmtId="1" fontId="18" fillId="3" borderId="4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1" fillId="3" borderId="1" xfId="0" applyFont="1" applyFill="1" applyBorder="1" applyProtection="1">
      <protection hidden="1"/>
    </xf>
    <xf numFmtId="1" fontId="3" fillId="0" borderId="0" xfId="0" applyNumberFormat="1" applyFont="1"/>
    <xf numFmtId="1" fontId="6" fillId="3" borderId="5" xfId="0" applyNumberFormat="1" applyFont="1" applyFill="1" applyBorder="1" applyProtection="1">
      <protection hidden="1"/>
    </xf>
    <xf numFmtId="1" fontId="7" fillId="0" borderId="0" xfId="0" applyNumberFormat="1" applyFont="1" applyAlignment="1" applyProtection="1">
      <alignment wrapText="1"/>
      <protection hidden="1"/>
    </xf>
    <xf numFmtId="1" fontId="11" fillId="3" borderId="9" xfId="0" applyNumberFormat="1" applyFont="1" applyFill="1" applyBorder="1" applyProtection="1">
      <protection hidden="1"/>
    </xf>
    <xf numFmtId="1" fontId="11" fillId="0" borderId="10" xfId="0" applyNumberFormat="1" applyFont="1" applyBorder="1" applyAlignment="1" applyProtection="1">
      <alignment horizontal="left"/>
      <protection locked="0"/>
    </xf>
    <xf numFmtId="1" fontId="11" fillId="3" borderId="2" xfId="0" applyNumberFormat="1" applyFont="1" applyFill="1" applyBorder="1" applyProtection="1">
      <protection locked="0"/>
    </xf>
    <xf numFmtId="1" fontId="14" fillId="3" borderId="0" xfId="0" applyNumberFormat="1" applyFont="1" applyFill="1" applyAlignment="1" applyProtection="1">
      <alignment horizontal="left"/>
      <protection hidden="1"/>
    </xf>
    <xf numFmtId="1" fontId="11" fillId="3" borderId="6" xfId="0" applyNumberFormat="1" applyFont="1" applyFill="1" applyBorder="1" applyAlignment="1" applyProtection="1">
      <alignment horizontal="left"/>
      <protection hidden="1"/>
    </xf>
    <xf numFmtId="0" fontId="18" fillId="3" borderId="0" xfId="0" applyFont="1" applyFill="1" applyAlignment="1" applyProtection="1">
      <alignment horizontal="right" vertical="center"/>
      <protection hidden="1"/>
    </xf>
    <xf numFmtId="1" fontId="9" fillId="0" borderId="4" xfId="0" applyNumberFormat="1" applyFont="1" applyBorder="1" applyAlignment="1">
      <alignment horizontal="center" vertical="center" shrinkToFit="1"/>
    </xf>
    <xf numFmtId="4" fontId="9" fillId="0" borderId="4" xfId="0" applyNumberFormat="1" applyFont="1" applyBorder="1" applyAlignment="1">
      <alignment horizontal="center" vertical="center" shrinkToFit="1"/>
    </xf>
    <xf numFmtId="16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5" xfId="0" applyFont="1" applyFill="1" applyBorder="1" applyAlignment="1">
      <alignment horizontal="center" vertical="center" wrapText="1"/>
    </xf>
    <xf numFmtId="1" fontId="7" fillId="5" borderId="15" xfId="0" applyNumberFormat="1" applyFont="1" applyFill="1" applyBorder="1" applyAlignment="1">
      <alignment horizontal="center" vertical="center" wrapText="1"/>
    </xf>
    <xf numFmtId="165" fontId="7" fillId="5" borderId="15" xfId="0" applyNumberFormat="1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 shrinkToFit="1"/>
    </xf>
    <xf numFmtId="0" fontId="5" fillId="0" borderId="0" xfId="0" applyFont="1" applyAlignment="1" applyProtection="1">
      <alignment horizontal="center" vertical="center"/>
      <protection locked="0"/>
    </xf>
    <xf numFmtId="1" fontId="22" fillId="0" borderId="4" xfId="0" applyNumberFormat="1" applyFont="1" applyBorder="1" applyAlignment="1">
      <alignment horizontal="center" vertical="center" wrapText="1" shrinkToFit="1"/>
    </xf>
    <xf numFmtId="0" fontId="23" fillId="5" borderId="15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left" vertical="center" wrapText="1" shrinkToFit="1"/>
    </xf>
    <xf numFmtId="1" fontId="9" fillId="0" borderId="4" xfId="0" applyNumberFormat="1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left" vertical="center" wrapText="1"/>
    </xf>
    <xf numFmtId="0" fontId="6" fillId="3" borderId="4" xfId="0" applyFont="1" applyFill="1" applyBorder="1" applyAlignment="1" applyProtection="1">
      <alignment horizontal="left" vertical="top" wrapText="1"/>
      <protection locked="0"/>
    </xf>
    <xf numFmtId="0" fontId="15" fillId="0" borderId="0" xfId="0" applyFont="1" applyAlignment="1">
      <alignment horizontal="left" vertical="center" wrapText="1"/>
    </xf>
    <xf numFmtId="0" fontId="17" fillId="3" borderId="0" xfId="0" applyFont="1" applyFill="1" applyBorder="1" applyAlignment="1" applyProtection="1">
      <alignment horizontal="right" vertical="center"/>
      <protection hidden="1"/>
    </xf>
    <xf numFmtId="0" fontId="17" fillId="3" borderId="6" xfId="0" applyFont="1" applyFill="1" applyBorder="1" applyAlignment="1" applyProtection="1">
      <alignment horizontal="right" vertical="center"/>
      <protection hidden="1"/>
    </xf>
    <xf numFmtId="165" fontId="13" fillId="0" borderId="12" xfId="1" applyNumberFormat="1" applyFont="1" applyBorder="1" applyAlignment="1">
      <alignment horizontal="left" vertical="center" shrinkToFit="1"/>
    </xf>
    <xf numFmtId="165" fontId="13" fillId="0" borderId="13" xfId="1" applyNumberFormat="1" applyFont="1" applyBorder="1" applyAlignment="1">
      <alignment horizontal="left" vertical="center" shrinkToFit="1"/>
    </xf>
    <xf numFmtId="165" fontId="13" fillId="0" borderId="14" xfId="1" applyNumberFormat="1" applyFont="1" applyBorder="1" applyAlignment="1">
      <alignment horizontal="left" vertical="center" shrinkToFit="1"/>
    </xf>
    <xf numFmtId="165" fontId="12" fillId="0" borderId="4" xfId="1" applyNumberFormat="1" applyFont="1" applyBorder="1" applyAlignment="1">
      <alignment horizontal="left" vertical="center" shrinkToFi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165" fontId="13" fillId="0" borderId="12" xfId="1" applyNumberFormat="1" applyFont="1" applyBorder="1" applyAlignment="1">
      <alignment horizontal="right" vertical="center" shrinkToFit="1"/>
    </xf>
    <xf numFmtId="165" fontId="13" fillId="0" borderId="13" xfId="1" applyNumberFormat="1" applyFont="1" applyBorder="1" applyAlignment="1">
      <alignment horizontal="right" vertical="center" shrinkToFit="1"/>
    </xf>
    <xf numFmtId="165" fontId="13" fillId="0" borderId="14" xfId="1" applyNumberFormat="1" applyFont="1" applyBorder="1" applyAlignment="1">
      <alignment horizontal="right" vertical="center" shrinkToFit="1"/>
    </xf>
    <xf numFmtId="165" fontId="13" fillId="0" borderId="4" xfId="1" applyNumberFormat="1" applyFont="1" applyBorder="1" applyAlignment="1">
      <alignment horizontal="right" vertical="center" shrinkToFit="1"/>
    </xf>
  </cellXfs>
  <cellStyles count="3">
    <cellStyle name="Comma" xfId="1" builtinId="3"/>
    <cellStyle name="Normal" xfId="0" builtinId="0"/>
    <cellStyle name="Normal 10 16 2" xfId="2" xr:uid="{00000000-0005-0000-0000-000002000000}"/>
  </cellStyles>
  <dxfs count="6">
    <dxf>
      <fill>
        <patternFill>
          <bgColor indexed="58"/>
        </patternFill>
      </fill>
    </dxf>
    <dxf>
      <fill>
        <patternFill>
          <bgColor indexed="16"/>
        </patternFill>
      </fill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2035</xdr:colOff>
      <xdr:row>9</xdr:row>
      <xdr:rowOff>58432</xdr:rowOff>
    </xdr:from>
    <xdr:to>
      <xdr:col>5</xdr:col>
      <xdr:colOff>843642</xdr:colOff>
      <xdr:row>13</xdr:row>
      <xdr:rowOff>693964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19749" y="2575753"/>
          <a:ext cx="3699107" cy="1724104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Artemis Electrical Est 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P.O. BOX No: 21547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DUBAI, </a:t>
          </a:r>
          <a:r>
            <a:rPr lang="en-US" sz="1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UAE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MOB No : +971 50 6431352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TEL No  : +9714 452 8239     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TRN: 100294715600003</a:t>
          </a:r>
        </a:p>
      </xdr:txBody>
    </xdr:sp>
    <xdr:clientData/>
  </xdr:twoCellAnchor>
  <xdr:twoCellAnchor>
    <xdr:from>
      <xdr:col>2</xdr:col>
      <xdr:colOff>3935</xdr:colOff>
      <xdr:row>7</xdr:row>
      <xdr:rowOff>81642</xdr:rowOff>
    </xdr:from>
    <xdr:to>
      <xdr:col>5</xdr:col>
      <xdr:colOff>842698</xdr:colOff>
      <xdr:row>9</xdr:row>
      <xdr:rowOff>79579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1649" y="2163535"/>
          <a:ext cx="3696263" cy="43336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800" b="1">
              <a:latin typeface="Arial" pitchFamily="34" charset="0"/>
              <a:cs typeface="Arial" pitchFamily="34" charset="0"/>
            </a:rPr>
            <a:t>From</a:t>
          </a:r>
        </a:p>
      </xdr:txBody>
    </xdr:sp>
    <xdr:clientData/>
  </xdr:twoCellAnchor>
  <xdr:twoCellAnchor>
    <xdr:from>
      <xdr:col>6</xdr:col>
      <xdr:colOff>406634</xdr:colOff>
      <xdr:row>7</xdr:row>
      <xdr:rowOff>108857</xdr:rowOff>
    </xdr:from>
    <xdr:to>
      <xdr:col>10</xdr:col>
      <xdr:colOff>1672585</xdr:colOff>
      <xdr:row>9</xdr:row>
      <xdr:rowOff>67236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257705" y="2190750"/>
          <a:ext cx="4177880" cy="39380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800" b="1">
              <a:latin typeface="Arial" pitchFamily="34" charset="0"/>
              <a:cs typeface="Arial" pitchFamily="34" charset="0"/>
            </a:rPr>
            <a:t>TO</a:t>
          </a:r>
        </a:p>
      </xdr:txBody>
    </xdr:sp>
    <xdr:clientData/>
  </xdr:twoCellAnchor>
  <xdr:twoCellAnchor>
    <xdr:from>
      <xdr:col>6</xdr:col>
      <xdr:colOff>399044</xdr:colOff>
      <xdr:row>9</xdr:row>
      <xdr:rowOff>65634</xdr:rowOff>
    </xdr:from>
    <xdr:to>
      <xdr:col>10</xdr:col>
      <xdr:colOff>1669677</xdr:colOff>
      <xdr:row>13</xdr:row>
      <xdr:rowOff>974911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377BA8-67B2-4337-B5DC-AEE5F699DC5E}"/>
            </a:ext>
          </a:extLst>
        </xdr:cNvPr>
        <xdr:cNvSpPr/>
      </xdr:nvSpPr>
      <xdr:spPr>
        <a:xfrm>
          <a:off x="6293338" y="2575752"/>
          <a:ext cx="4195368" cy="197383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endParaRPr lang="en-US" sz="1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showWhiteSpace="0" view="pageLayout" zoomScale="85" zoomScaleNormal="60" zoomScalePageLayoutView="85" workbookViewId="0">
      <selection activeCell="K3" sqref="K3"/>
    </sheetView>
  </sheetViews>
  <sheetFormatPr defaultColWidth="10.875" defaultRowHeight="15" x14ac:dyDescent="0.2"/>
  <cols>
    <col min="1" max="1" width="2" style="2" customWidth="1"/>
    <col min="2" max="2" width="0.875" style="2" customWidth="1"/>
    <col min="3" max="3" width="5.5" style="2" bestFit="1" customWidth="1"/>
    <col min="4" max="4" width="14.5" style="2" customWidth="1"/>
    <col min="5" max="5" width="21.875" style="2" customWidth="1"/>
    <col min="6" max="6" width="36.375" style="3" customWidth="1"/>
    <col min="7" max="7" width="7.625" style="4" bestFit="1" customWidth="1"/>
    <col min="8" max="8" width="6.625" style="62" bestFit="1" customWidth="1"/>
    <col min="9" max="9" width="12.125" style="2" customWidth="1"/>
    <col min="10" max="10" width="11.25" style="2" customWidth="1"/>
    <col min="11" max="11" width="22" style="2" bestFit="1" customWidth="1"/>
    <col min="12" max="16384" width="10.875" style="2"/>
  </cols>
  <sheetData>
    <row r="1" spans="1:14" ht="2.1" customHeight="1" x14ac:dyDescent="0.2">
      <c r="A1" s="1"/>
    </row>
    <row r="2" spans="1:14" ht="35.1" customHeight="1" x14ac:dyDescent="0.2">
      <c r="A2" s="1"/>
      <c r="I2" s="87" t="s">
        <v>14</v>
      </c>
      <c r="J2" s="87"/>
      <c r="K2" s="88"/>
    </row>
    <row r="3" spans="1:14" ht="25.5" x14ac:dyDescent="0.35">
      <c r="A3" s="5"/>
      <c r="B3" s="5"/>
      <c r="C3" s="93"/>
      <c r="D3" s="94"/>
      <c r="E3" s="94"/>
      <c r="F3" s="94"/>
      <c r="G3" s="94"/>
      <c r="J3" s="45" t="s">
        <v>0</v>
      </c>
      <c r="K3" s="59" t="s">
        <v>23</v>
      </c>
    </row>
    <row r="4" spans="1:14" ht="25.5" x14ac:dyDescent="0.35">
      <c r="A4" s="5"/>
      <c r="B4" s="5"/>
      <c r="C4" s="95"/>
      <c r="D4" s="96"/>
      <c r="E4" s="96"/>
      <c r="F4" s="97"/>
      <c r="G4" s="97"/>
      <c r="J4" s="46" t="s">
        <v>9</v>
      </c>
      <c r="K4" s="59"/>
    </row>
    <row r="5" spans="1:14" ht="25.5" x14ac:dyDescent="0.25">
      <c r="A5" s="5"/>
      <c r="B5" s="5"/>
      <c r="C5" s="98"/>
      <c r="D5" s="99"/>
      <c r="E5" s="99"/>
      <c r="F5" s="99"/>
      <c r="G5" s="99"/>
      <c r="J5" s="70" t="s">
        <v>10</v>
      </c>
      <c r="K5" s="73"/>
    </row>
    <row r="6" spans="1:14" ht="25.5" x14ac:dyDescent="0.35">
      <c r="A6" s="5"/>
      <c r="B6" s="5"/>
      <c r="C6" s="6"/>
      <c r="D6" s="78"/>
      <c r="E6" s="60"/>
      <c r="F6" s="6"/>
      <c r="G6" s="7"/>
      <c r="J6" s="48" t="s">
        <v>17</v>
      </c>
      <c r="K6" s="58"/>
    </row>
    <row r="7" spans="1:14" ht="25.5" x14ac:dyDescent="0.35">
      <c r="A7" s="5"/>
      <c r="B7" s="5"/>
      <c r="C7" s="49"/>
      <c r="D7" s="78"/>
      <c r="E7" s="60"/>
      <c r="F7" s="49"/>
      <c r="G7" s="7"/>
      <c r="J7" s="48" t="s">
        <v>15</v>
      </c>
      <c r="K7" s="47">
        <v>0</v>
      </c>
    </row>
    <row r="8" spans="1:14" ht="10.5" customHeight="1" x14ac:dyDescent="0.35">
      <c r="A8" s="5"/>
      <c r="B8" s="5"/>
      <c r="C8" s="8"/>
      <c r="D8" s="8"/>
      <c r="E8" s="8"/>
      <c r="F8" s="9"/>
      <c r="G8" s="10"/>
      <c r="H8" s="63"/>
      <c r="I8" s="11"/>
      <c r="J8" s="54"/>
      <c r="K8" s="12"/>
    </row>
    <row r="9" spans="1:14" ht="23.25" x14ac:dyDescent="0.35">
      <c r="A9" s="13"/>
      <c r="B9" s="5"/>
      <c r="C9" s="8"/>
      <c r="D9" s="54"/>
      <c r="E9" s="54"/>
      <c r="F9" s="14"/>
      <c r="G9" s="14"/>
      <c r="H9" s="64"/>
      <c r="I9" s="14"/>
      <c r="J9" s="14"/>
      <c r="K9" s="14"/>
    </row>
    <row r="10" spans="1:14" ht="15" customHeight="1" x14ac:dyDescent="0.35">
      <c r="A10" s="13"/>
      <c r="B10" s="5"/>
      <c r="C10" s="8"/>
      <c r="D10" s="54"/>
      <c r="E10" s="54"/>
      <c r="F10" s="50"/>
      <c r="G10" s="51"/>
      <c r="H10" s="64"/>
      <c r="I10" s="14"/>
      <c r="J10" s="14"/>
      <c r="K10" s="14"/>
    </row>
    <row r="11" spans="1:14" ht="23.25" x14ac:dyDescent="0.35">
      <c r="A11" s="13"/>
      <c r="B11" s="5"/>
      <c r="C11" s="8"/>
      <c r="D11" s="54"/>
      <c r="E11" s="54"/>
      <c r="F11" s="50"/>
      <c r="G11" s="51"/>
      <c r="H11" s="64"/>
      <c r="I11" s="14"/>
      <c r="J11" s="14"/>
      <c r="K11" s="14"/>
    </row>
    <row r="12" spans="1:14" ht="23.25" x14ac:dyDescent="0.35">
      <c r="A12" s="13"/>
      <c r="B12" s="5"/>
      <c r="C12" s="8"/>
      <c r="D12" s="54"/>
      <c r="E12" s="54"/>
      <c r="F12" s="50"/>
      <c r="G12" s="51"/>
      <c r="H12" s="64"/>
      <c r="I12" s="14"/>
      <c r="J12" s="14"/>
      <c r="K12" s="14"/>
    </row>
    <row r="13" spans="1:14" ht="23.25" x14ac:dyDescent="0.35">
      <c r="A13" s="13"/>
      <c r="B13" s="5"/>
      <c r="C13" s="8"/>
      <c r="D13" s="54"/>
      <c r="E13" s="54"/>
      <c r="F13" s="50"/>
      <c r="G13" s="51"/>
      <c r="H13" s="64"/>
      <c r="I13" s="14"/>
      <c r="J13" s="14"/>
      <c r="K13" s="14"/>
    </row>
    <row r="14" spans="1:14" ht="86.25" customHeight="1" x14ac:dyDescent="0.35">
      <c r="A14" s="13"/>
      <c r="B14" s="5"/>
      <c r="C14" s="8"/>
      <c r="D14" s="54"/>
      <c r="E14" s="54"/>
      <c r="F14" s="50"/>
      <c r="G14" s="51"/>
      <c r="H14" s="64"/>
      <c r="I14" s="14"/>
      <c r="J14" s="14"/>
      <c r="K14" s="14"/>
    </row>
    <row r="15" spans="1:14" ht="23.25" x14ac:dyDescent="0.25">
      <c r="A15" s="15"/>
      <c r="B15" s="5"/>
      <c r="C15" s="74" t="s">
        <v>11</v>
      </c>
      <c r="D15" s="80" t="s">
        <v>19</v>
      </c>
      <c r="E15" s="74" t="s">
        <v>18</v>
      </c>
      <c r="F15" s="74" t="s">
        <v>1</v>
      </c>
      <c r="G15" s="74" t="s">
        <v>2</v>
      </c>
      <c r="H15" s="75" t="s">
        <v>3</v>
      </c>
      <c r="I15" s="74" t="s">
        <v>13</v>
      </c>
      <c r="J15" s="74" t="s">
        <v>16</v>
      </c>
      <c r="K15" s="76" t="s">
        <v>12</v>
      </c>
    </row>
    <row r="16" spans="1:14" s="18" customFormat="1" ht="159.75" customHeight="1" x14ac:dyDescent="0.25">
      <c r="A16" s="16"/>
      <c r="B16" s="5"/>
      <c r="C16" s="17">
        <v>1</v>
      </c>
      <c r="D16" s="83"/>
      <c r="E16" s="81"/>
      <c r="F16" s="82"/>
      <c r="G16" s="77" t="s">
        <v>22</v>
      </c>
      <c r="H16" s="71"/>
      <c r="I16" s="72"/>
      <c r="J16" s="55">
        <f t="shared" ref="J16" si="0">K16*0.05</f>
        <v>0</v>
      </c>
      <c r="K16" s="55">
        <f>H16*I16</f>
        <v>0</v>
      </c>
      <c r="L16" s="2"/>
      <c r="M16" s="2"/>
      <c r="N16" s="2"/>
    </row>
    <row r="17" spans="1:14" s="18" customFormat="1" ht="159.75" customHeight="1" x14ac:dyDescent="0.25">
      <c r="A17" s="16"/>
      <c r="B17" s="5"/>
      <c r="C17" s="17">
        <v>2</v>
      </c>
      <c r="D17" s="83"/>
      <c r="E17" s="81"/>
      <c r="F17" s="82"/>
      <c r="G17" s="77" t="s">
        <v>22</v>
      </c>
      <c r="H17" s="71"/>
      <c r="I17" s="72"/>
      <c r="J17" s="55">
        <f t="shared" ref="J17:J18" si="1">K17*0.05</f>
        <v>0</v>
      </c>
      <c r="K17" s="55">
        <f t="shared" ref="K17:K18" si="2">H17*I17</f>
        <v>0</v>
      </c>
      <c r="L17" s="2"/>
      <c r="M17" s="2"/>
      <c r="N17" s="2"/>
    </row>
    <row r="18" spans="1:14" s="18" customFormat="1" ht="159.75" customHeight="1" x14ac:dyDescent="0.25">
      <c r="A18" s="16"/>
      <c r="B18" s="5"/>
      <c r="C18" s="17">
        <v>3</v>
      </c>
      <c r="D18" s="83"/>
      <c r="E18" s="81"/>
      <c r="F18" s="79"/>
      <c r="G18" s="77" t="s">
        <v>22</v>
      </c>
      <c r="H18" s="71"/>
      <c r="I18" s="72"/>
      <c r="J18" s="55">
        <f t="shared" si="1"/>
        <v>0</v>
      </c>
      <c r="K18" s="55">
        <f t="shared" si="2"/>
        <v>0</v>
      </c>
      <c r="L18" s="2"/>
      <c r="M18" s="2"/>
      <c r="N18" s="2"/>
    </row>
    <row r="19" spans="1:14" s="20" customFormat="1" ht="23.25" customHeight="1" x14ac:dyDescent="0.25">
      <c r="A19" s="19"/>
      <c r="C19" s="100" t="s">
        <v>4</v>
      </c>
      <c r="D19" s="101"/>
      <c r="E19" s="101"/>
      <c r="F19" s="101"/>
      <c r="G19" s="101"/>
      <c r="H19" s="101"/>
      <c r="I19" s="101"/>
      <c r="J19" s="102"/>
      <c r="K19" s="56">
        <f>SUM(K16:K17)</f>
        <v>0</v>
      </c>
    </row>
    <row r="20" spans="1:14" s="20" customFormat="1" ht="22.5" customHeight="1" x14ac:dyDescent="0.25">
      <c r="A20" s="19"/>
      <c r="C20" s="103" t="s">
        <v>16</v>
      </c>
      <c r="D20" s="103"/>
      <c r="E20" s="103"/>
      <c r="F20" s="103"/>
      <c r="G20" s="103"/>
      <c r="H20" s="103"/>
      <c r="I20" s="103" t="s">
        <v>16</v>
      </c>
      <c r="J20" s="103"/>
      <c r="K20" s="56">
        <f>K19*0.05</f>
        <v>0</v>
      </c>
    </row>
    <row r="21" spans="1:14" ht="23.25" x14ac:dyDescent="0.25">
      <c r="A21" s="15"/>
      <c r="C21" s="103" t="s">
        <v>5</v>
      </c>
      <c r="D21" s="103"/>
      <c r="E21" s="103"/>
      <c r="F21" s="103"/>
      <c r="G21" s="103"/>
      <c r="H21" s="103"/>
      <c r="I21" s="103"/>
      <c r="J21" s="103"/>
      <c r="K21" s="57">
        <f>SUM(K19:K20)</f>
        <v>0</v>
      </c>
      <c r="L21" s="21"/>
      <c r="M21" s="20"/>
      <c r="N21" s="22"/>
    </row>
    <row r="22" spans="1:14" ht="23.25" x14ac:dyDescent="0.25">
      <c r="A22" s="15"/>
      <c r="C22" s="92" t="s">
        <v>20</v>
      </c>
      <c r="D22" s="92"/>
      <c r="E22" s="92"/>
      <c r="F22" s="92"/>
      <c r="G22" s="92"/>
      <c r="H22" s="92"/>
      <c r="I22" s="92"/>
      <c r="J22" s="92"/>
      <c r="K22" s="92"/>
      <c r="L22" s="21"/>
      <c r="M22" s="20"/>
      <c r="N22" s="22"/>
    </row>
    <row r="23" spans="1:14" ht="18.75" customHeight="1" x14ac:dyDescent="0.25">
      <c r="A23" s="15"/>
      <c r="C23" s="89" t="s">
        <v>6</v>
      </c>
      <c r="D23" s="90"/>
      <c r="E23" s="90"/>
      <c r="F23" s="90"/>
      <c r="G23" s="90"/>
      <c r="H23" s="90"/>
      <c r="I23" s="90"/>
      <c r="J23" s="90"/>
      <c r="K23" s="91"/>
      <c r="L23" s="21"/>
      <c r="M23" s="20"/>
      <c r="N23" s="22"/>
    </row>
    <row r="24" spans="1:14" ht="23.1" customHeight="1" x14ac:dyDescent="0.2">
      <c r="A24" s="15"/>
      <c r="C24" s="85" t="s">
        <v>21</v>
      </c>
      <c r="D24" s="85"/>
      <c r="E24" s="85"/>
      <c r="F24" s="85"/>
      <c r="G24" s="85"/>
      <c r="H24" s="85"/>
      <c r="I24" s="85"/>
      <c r="J24" s="85"/>
      <c r="K24" s="85"/>
    </row>
    <row r="25" spans="1:14" ht="14.25" customHeight="1" x14ac:dyDescent="0.2">
      <c r="A25" s="15"/>
      <c r="C25" s="85"/>
      <c r="D25" s="85"/>
      <c r="E25" s="85"/>
      <c r="F25" s="85"/>
      <c r="G25" s="85"/>
      <c r="H25" s="85"/>
      <c r="I25" s="85"/>
      <c r="J25" s="85"/>
      <c r="K25" s="85"/>
    </row>
    <row r="26" spans="1:14" ht="17.25" customHeight="1" x14ac:dyDescent="0.2">
      <c r="A26" s="15"/>
      <c r="C26" s="85"/>
      <c r="D26" s="85"/>
      <c r="E26" s="85"/>
      <c r="F26" s="85"/>
      <c r="G26" s="85"/>
      <c r="H26" s="85"/>
      <c r="I26" s="85"/>
      <c r="J26" s="85"/>
      <c r="K26" s="85"/>
    </row>
    <row r="27" spans="1:14" ht="38.25" customHeight="1" x14ac:dyDescent="0.2">
      <c r="A27" s="15"/>
      <c r="C27" s="85"/>
      <c r="D27" s="85"/>
      <c r="E27" s="85"/>
      <c r="F27" s="85"/>
      <c r="G27" s="85"/>
      <c r="H27" s="85"/>
      <c r="I27" s="85"/>
      <c r="J27" s="85"/>
      <c r="K27" s="85"/>
    </row>
    <row r="28" spans="1:14" x14ac:dyDescent="0.2">
      <c r="A28" s="1"/>
      <c r="C28" s="23"/>
      <c r="D28" s="23"/>
      <c r="E28" s="23"/>
      <c r="F28" s="24"/>
      <c r="G28" s="25"/>
      <c r="H28" s="65"/>
      <c r="I28" s="23"/>
      <c r="J28" s="23"/>
      <c r="K28" s="23"/>
    </row>
    <row r="29" spans="1:14" x14ac:dyDescent="0.2">
      <c r="A29" s="1"/>
      <c r="C29" s="26"/>
      <c r="D29" s="27"/>
      <c r="E29" s="27"/>
      <c r="F29" s="28"/>
      <c r="G29" s="29"/>
      <c r="H29" s="66"/>
      <c r="I29" s="27"/>
      <c r="J29" s="27"/>
      <c r="K29" s="27"/>
    </row>
    <row r="30" spans="1:14" x14ac:dyDescent="0.2">
      <c r="A30" s="1"/>
      <c r="C30" s="30"/>
      <c r="D30" s="61"/>
      <c r="E30" s="61"/>
      <c r="F30" s="31"/>
      <c r="G30" s="32"/>
      <c r="H30" s="67"/>
      <c r="I30" s="33"/>
      <c r="J30" s="33"/>
      <c r="K30" s="33"/>
    </row>
    <row r="31" spans="1:14" ht="30.75" customHeight="1" x14ac:dyDescent="0.25">
      <c r="A31" s="1"/>
      <c r="C31" s="34"/>
      <c r="D31" s="34"/>
      <c r="E31" s="34"/>
      <c r="F31" s="35"/>
      <c r="G31" s="36"/>
      <c r="H31" s="68"/>
      <c r="I31" s="37" t="s">
        <v>7</v>
      </c>
      <c r="J31" s="37"/>
      <c r="K31" s="37"/>
    </row>
    <row r="32" spans="1:14" ht="33" customHeight="1" x14ac:dyDescent="0.2">
      <c r="A32" s="1"/>
      <c r="C32" s="38"/>
      <c r="D32" s="39"/>
      <c r="E32" s="39"/>
      <c r="F32" s="40"/>
      <c r="G32" s="41"/>
      <c r="H32" s="69"/>
      <c r="I32" s="38" t="s">
        <v>8</v>
      </c>
      <c r="J32" s="39"/>
      <c r="K32" s="42"/>
    </row>
    <row r="35" spans="3:11" ht="15.75" x14ac:dyDescent="0.2">
      <c r="C35" s="86"/>
      <c r="D35" s="86"/>
      <c r="E35" s="86"/>
      <c r="F35" s="86"/>
      <c r="G35" s="86"/>
      <c r="H35" s="86"/>
      <c r="I35" s="86"/>
      <c r="J35" s="52"/>
      <c r="K35" s="43"/>
    </row>
    <row r="36" spans="3:11" ht="15.75" x14ac:dyDescent="0.2">
      <c r="C36" s="86"/>
      <c r="D36" s="86"/>
      <c r="E36" s="86"/>
      <c r="F36" s="86"/>
      <c r="G36" s="86"/>
      <c r="H36" s="86"/>
      <c r="I36" s="86"/>
      <c r="J36" s="52"/>
      <c r="K36" s="43"/>
    </row>
    <row r="37" spans="3:11" ht="15.75" x14ac:dyDescent="0.2">
      <c r="C37" s="86"/>
      <c r="D37" s="86"/>
      <c r="E37" s="86"/>
      <c r="F37" s="86"/>
      <c r="G37" s="86"/>
      <c r="H37" s="86"/>
      <c r="I37" s="86"/>
      <c r="J37" s="52"/>
      <c r="K37" s="43"/>
    </row>
    <row r="38" spans="3:11" ht="15.75" x14ac:dyDescent="0.2">
      <c r="C38" s="86"/>
      <c r="D38" s="86"/>
      <c r="E38" s="86"/>
      <c r="F38" s="86"/>
      <c r="G38" s="86"/>
      <c r="H38" s="86"/>
      <c r="I38" s="86"/>
      <c r="J38" s="52"/>
      <c r="K38" s="43"/>
    </row>
    <row r="39" spans="3:11" ht="15.75" x14ac:dyDescent="0.2">
      <c r="C39" s="84"/>
      <c r="D39" s="84"/>
      <c r="E39" s="84"/>
      <c r="F39" s="84"/>
      <c r="G39" s="84"/>
      <c r="H39" s="84"/>
      <c r="I39" s="84"/>
      <c r="J39" s="53"/>
      <c r="K39" s="44"/>
    </row>
  </sheetData>
  <mergeCells count="13">
    <mergeCell ref="C39:I39"/>
    <mergeCell ref="C24:K27"/>
    <mergeCell ref="C35:I35"/>
    <mergeCell ref="C36:I36"/>
    <mergeCell ref="I2:K2"/>
    <mergeCell ref="C23:K23"/>
    <mergeCell ref="C22:K22"/>
    <mergeCell ref="C37:I37"/>
    <mergeCell ref="C38:I38"/>
    <mergeCell ref="C3:G5"/>
    <mergeCell ref="C19:J19"/>
    <mergeCell ref="C20:J20"/>
    <mergeCell ref="C21:J21"/>
  </mergeCells>
  <phoneticPr fontId="2" type="noConversion"/>
  <conditionalFormatting sqref="C19:E21 C15:F15 K15">
    <cfRule type="expression" dxfId="5" priority="303" stopIfTrue="1">
      <formula>IF(#REF!="No Color",TRUE,FALSE)</formula>
    </cfRule>
  </conditionalFormatting>
  <conditionalFormatting sqref="C21:E23">
    <cfRule type="expression" dxfId="4" priority="168" stopIfTrue="1">
      <formula>IF(#REF!="No Color",TRUE,FALSE)</formula>
    </cfRule>
    <cfRule type="expression" dxfId="3" priority="169" stopIfTrue="1">
      <formula>IF(#REF!="Red",TRUE,FALSE)</formula>
    </cfRule>
    <cfRule type="expression" dxfId="2" priority="170" stopIfTrue="1">
      <formula>IF(#REF!="Green",TRUE,FALSE)</formula>
    </cfRule>
  </conditionalFormatting>
  <conditionalFormatting sqref="C15:F15 K15 C19:E21">
    <cfRule type="expression" dxfId="1" priority="304" stopIfTrue="1">
      <formula>IF(#REF!="Red",TRUE,FALSE)</formula>
    </cfRule>
    <cfRule type="expression" dxfId="0" priority="305" stopIfTrue="1">
      <formula>IF(#REF!="Green",TRUE,FALSE)</formula>
    </cfRule>
  </conditionalFormatting>
  <pageMargins left="0.5" right="0.5" top="1.26860119047619" bottom="0.75" header="0.3" footer="0.3"/>
  <pageSetup paperSize="9" scale="60" fitToHeight="2" orientation="portrait" horizontalDpi="300" verticalDpi="300" r:id="rId1"/>
  <headerFooter>
    <oddHeader>&amp;L&amp;"Calibri,Regular"&amp;K000000&amp;G</oddHeader>
    <oddFooter xml:space="preserve">&amp;L&amp;14&amp;K04+000                             
                      Artemis Electrical Est      P.O. BOX No: 21547 DUBAI (UAE)       MOB No : +971 50 6431352       TEL No  : +9714 452 8239   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20230112</vt:lpstr>
      <vt:lpstr>'20230112'!Print_Area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Sololuce Lighting</cp:lastModifiedBy>
  <cp:lastPrinted>2025-08-20T12:33:04Z</cp:lastPrinted>
  <dcterms:created xsi:type="dcterms:W3CDTF">2022-11-07T06:37:50Z</dcterms:created>
  <dcterms:modified xsi:type="dcterms:W3CDTF">2026-06-18T05:46:17Z</dcterms:modified>
</cp:coreProperties>
</file>